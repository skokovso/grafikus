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emion\Code\grafikus\data\"/>
    </mc:Choice>
  </mc:AlternateContent>
  <xr:revisionPtr revIDLastSave="0" documentId="13_ncr:1_{E65FF3E7-3D1F-4B99-B138-B69DC6342A9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Отделение" sheetId="1" r:id="rId1"/>
    <sheet name="Справочник" sheetId="2" r:id="rId2"/>
  </sheets>
  <definedNames>
    <definedName name="Время">Справочник!$B$2:$B$8</definedName>
    <definedName name="Год">Справочник!$D$2:$D$10</definedName>
    <definedName name="Месяц">Справочник!$C$2:$C$14</definedName>
    <definedName name="Отделения">Справочник!$E$2:$E$14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" i="1" l="1"/>
  <c r="AF22" i="1" l="1"/>
  <c r="B3" i="1"/>
  <c r="C3" i="1" l="1"/>
  <c r="C4" i="1" s="1"/>
  <c r="B4" i="1"/>
  <c r="D3" i="1" l="1"/>
  <c r="E3" i="1" l="1"/>
  <c r="D4" i="1"/>
  <c r="F3" i="1" l="1"/>
  <c r="E4" i="1"/>
  <c r="G3" i="1" l="1"/>
  <c r="F4" i="1"/>
  <c r="H3" i="1" l="1"/>
  <c r="G4" i="1"/>
  <c r="I3" i="1" l="1"/>
  <c r="H4" i="1"/>
  <c r="J3" i="1" l="1"/>
  <c r="I4" i="1"/>
  <c r="K3" i="1" l="1"/>
  <c r="J4" i="1"/>
  <c r="L3" i="1" l="1"/>
  <c r="K4" i="1"/>
  <c r="M3" i="1" l="1"/>
  <c r="L4" i="1"/>
  <c r="N3" i="1" l="1"/>
  <c r="M4" i="1"/>
  <c r="O3" i="1" l="1"/>
  <c r="N4" i="1"/>
  <c r="P3" i="1" l="1"/>
  <c r="O4" i="1"/>
  <c r="Q3" i="1" l="1"/>
  <c r="P4" i="1"/>
  <c r="R3" i="1" l="1"/>
  <c r="Q4" i="1"/>
  <c r="S3" i="1" l="1"/>
  <c r="R4" i="1"/>
  <c r="T3" i="1" l="1"/>
  <c r="S4" i="1"/>
  <c r="U3" i="1" l="1"/>
  <c r="T4" i="1"/>
  <c r="V3" i="1" l="1"/>
  <c r="U4" i="1"/>
  <c r="W3" i="1" l="1"/>
  <c r="V4" i="1"/>
  <c r="X3" i="1" l="1"/>
  <c r="W4" i="1"/>
  <c r="Y3" i="1" l="1"/>
  <c r="X4" i="1"/>
  <c r="Z3" i="1" l="1"/>
  <c r="Y4" i="1"/>
  <c r="AA3" i="1" l="1"/>
  <c r="Z4" i="1"/>
  <c r="AB3" i="1" l="1"/>
  <c r="AA4" i="1"/>
  <c r="AC3" i="1" l="1"/>
  <c r="AB4" i="1"/>
  <c r="AD3" i="1" l="1"/>
  <c r="AC4" i="1"/>
  <c r="AE3" i="1" l="1"/>
  <c r="AD4" i="1"/>
  <c r="AF3" i="1" l="1"/>
  <c r="AF4" i="1" s="1"/>
  <c r="AE4" i="1"/>
</calcChain>
</file>

<file path=xl/sharedStrings.xml><?xml version="1.0" encoding="utf-8"?>
<sst xmlns="http://schemas.openxmlformats.org/spreadsheetml/2006/main" count="64" uniqueCount="43">
  <si>
    <t>Месяц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</si>
  <si>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</si>
  <si>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</si>
  <si>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</si>
  <si>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</si>
  <si>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</si>
  <si>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</si>
  <si>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</si>
  <si>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</si>
  <si>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</si>
  <si>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</si>
  <si>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</si>
  <si>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</si>
  <si>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Время</t>
  </si>
  <si>
    <t>Год</t>
  </si>
  <si>
    <t xml:space="preserve">График дежурств врачей </t>
  </si>
  <si>
    <t>Отделения</t>
  </si>
  <si>
    <t>Травматологического отделения</t>
  </si>
  <si>
    <t>Урологического отделения</t>
  </si>
  <si>
    <t>Хирургического  отделения</t>
  </si>
  <si>
    <t>Приемного отделения</t>
  </si>
  <si>
    <t xml:space="preserve">на </t>
  </si>
  <si>
    <t xml:space="preserve">Заведующий отделением </t>
  </si>
  <si>
    <t>Заведующие</t>
  </si>
  <si>
    <t>Дата</t>
  </si>
  <si>
    <t>Дежурный врач</t>
  </si>
  <si>
    <t>16-9</t>
  </si>
  <si>
    <t>9-9</t>
  </si>
  <si>
    <t>9-21</t>
  </si>
  <si>
    <t>21-9</t>
  </si>
  <si>
    <t>Петров П.П</t>
  </si>
  <si>
    <t>Серегев С.С.</t>
  </si>
  <si>
    <t>Иванов И.И.</t>
  </si>
  <si>
    <t>Дмитриев Д.Д.</t>
  </si>
  <si>
    <t>Сашев С.С.</t>
  </si>
  <si>
    <t>Отвественных по стационару</t>
  </si>
  <si>
    <t xml:space="preserve">Утверждаю Главный врач ГОБУЗ ММММ </t>
  </si>
  <si>
    <t>М.М. Мемов "___"______________</t>
  </si>
  <si>
    <t>Аалинский А.А.</t>
  </si>
  <si>
    <t>Бебинский Б.Б.</t>
  </si>
  <si>
    <t>Вевинский В.В.</t>
  </si>
  <si>
    <t>Дединский Д.Д.</t>
  </si>
  <si>
    <t>Гегинский Г.Г.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</si>
</sst>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9]d\ mmm;@"/>
    <numFmt numFmtId="165" formatCode="ddd"/>
    <numFmt numFmtId="166" formatCode="yyyy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1" xfId="0" applyNumberFormat="1" applyBorder="1"/>
    <xf numFmtId="49" fontId="0" fillId="0" borderId="0" xfId="0" applyNumberFormat="1"/>
    <xf numFmtId="165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2" xfId="0" applyBorder="1"/>
    <xf numFmtId="166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166" fontId="2" fillId="0" borderId="0" xfId="0" applyNumberFormat="1" applyFont="1" applyAlignment="1">
      <alignment horizontal="left"/>
    </xf>
  </cellXfs>
  <cellStyles count="1">
    <cellStyle name="Обычный" xfId="0" builtinId="0"/>
  </cellStyles>
  <dxfs count="3">
    <dxf>
      <fill>
        <patternFill>
          <bgColor theme="5" tint="0.79998168889431442"/>
        </patternFill>
      </fill>
    </dxf>
    <dxf>
      <numFmt numFmtId="30" formatCode="@"/>
    </dxf>
    <dxf>
      <numFmt numFmtId="166" formatCode="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C1:F14" totalsRowShown="0">
  <autoFilter ref="C1:F14" xr:uid="{00000000-0009-0000-0100-000001000000}"/>
  <tableColumns count="4">
    <tableColumn id="1" xr3:uid="{00000000-0010-0000-0000-000001000000}" name="Месяц"/>
    <tableColumn id="2" xr3:uid="{00000000-0010-0000-0000-000002000000}" name="Год" dataDxfId="2"/>
    <tableColumn id="3" xr3:uid="{00000000-0010-0000-0000-000003000000}" name="Отделения"/>
    <tableColumn id="4" xr3:uid="{00000000-0010-0000-0000-000004000000}" name="Заведующие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B1:B8" totalsRowShown="0">
  <autoFilter ref="B1:B8" xr:uid="{00000000-0009-0000-0100-000002000000}"/>
  <tableColumns count="1">
    <tableColumn id="1" xr3:uid="{00000000-0010-0000-0100-000001000000}" name="Время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workbookViewId="0">
      <selection activeCell="Z29" sqref="Z29"/>
    </sheetView>
  </sheetViews>
  <sheetFormatPr defaultRowHeight="15" x14ac:dyDescent="0.25"/>
  <cols>
    <col min="1" max="1" width="19.85546875" customWidth="1"/>
    <col min="2" max="2" width="5.5703125" bestFit="1" customWidth="1"/>
    <col min="3" max="3" width="5.7109375" customWidth="1"/>
    <col min="4" max="10" width="5.5703125" bestFit="1" customWidth="1"/>
    <col min="11" max="30" width="6.5703125" bestFit="1" customWidth="1"/>
    <col min="31" max="31" width="8" customWidth="1"/>
    <col min="32" max="32" width="7.28515625" bestFit="1" customWidth="1"/>
  </cols>
  <sheetData>
    <row r="1" spans="1:33" x14ac:dyDescent="0.25">
      <c r="A1" s="9" t="s">
        <v>15</v>
      </c>
      <c r="B1" s="9"/>
      <c r="C1" s="12" t="s">
        <v>35</v>
      </c>
      <c r="D1" s="12"/>
      <c r="E1" s="12"/>
      <c r="F1" s="12"/>
      <c r="G1" s="12"/>
      <c r="H1" s="12"/>
      <c r="J1" t="s">
        <v>21</v>
      </c>
      <c r="K1" s="12" t="s">
        <v>8</v>
      </c>
      <c r="L1" s="12"/>
      <c r="M1" s="13">
        <v>46023</v>
      </c>
      <c r="N1" s="13"/>
      <c r="AF1" s="6" t="s">
        <v>36</v>
      </c>
    </row>
    <row r="2" spans="1:33" x14ac:dyDescent="0.25">
      <c r="AE2" s="6" t="s">
        <v>37</v>
      </c>
      <c r="AF2" s="7">
        <f>M1</f>
        <v>46023</v>
      </c>
    </row>
    <row r="3" spans="1:33" x14ac:dyDescent="0.25">
      <c r="A3" s="11" t="s">
        <v>24</v>
      </c>
      <c r="B3" s="3">
        <f>DATE(YEAR(M1),MONTH(1&amp;K1),1)</f>
        <v>46235</v>
      </c>
      <c r="C3" s="3">
        <f>IF(B3="", "", IF(MONTH(B3+1) = MONTH($B$3),B3+1, ""))</f>
        <v>46236</v>
      </c>
      <c r="D3" s="3">
        <f t="shared" ref="D3:AF3" si="0">IF(C3="", "", IF(MONTH(C3+1) = MONTH($B$3),C3+1, ""))</f>
        <v>46237</v>
      </c>
      <c r="E3" s="3">
        <f t="shared" si="0"/>
        <v>46238</v>
      </c>
      <c r="F3" s="3">
        <f t="shared" si="0"/>
        <v>46239</v>
      </c>
      <c r="G3" s="3">
        <f t="shared" si="0"/>
        <v>46240</v>
      </c>
      <c r="H3" s="3">
        <f t="shared" si="0"/>
        <v>46241</v>
      </c>
      <c r="I3" s="3">
        <f t="shared" si="0"/>
        <v>46242</v>
      </c>
      <c r="J3" s="3">
        <f t="shared" si="0"/>
        <v>46243</v>
      </c>
      <c r="K3" s="3">
        <f t="shared" si="0"/>
        <v>46244</v>
      </c>
      <c r="L3" s="3">
        <f t="shared" si="0"/>
        <v>46245</v>
      </c>
      <c r="M3" s="3">
        <f t="shared" si="0"/>
        <v>46246</v>
      </c>
      <c r="N3" s="3">
        <f t="shared" si="0"/>
        <v>46247</v>
      </c>
      <c r="O3" s="3">
        <f t="shared" si="0"/>
        <v>46248</v>
      </c>
      <c r="P3" s="3">
        <f t="shared" si="0"/>
        <v>46249</v>
      </c>
      <c r="Q3" s="3">
        <f t="shared" si="0"/>
        <v>46250</v>
      </c>
      <c r="R3" s="3">
        <f t="shared" si="0"/>
        <v>46251</v>
      </c>
      <c r="S3" s="3">
        <f t="shared" si="0"/>
        <v>46252</v>
      </c>
      <c r="T3" s="3">
        <f t="shared" si="0"/>
        <v>46253</v>
      </c>
      <c r="U3" s="3">
        <f t="shared" si="0"/>
        <v>46254</v>
      </c>
      <c r="V3" s="3">
        <f t="shared" si="0"/>
        <v>46255</v>
      </c>
      <c r="W3" s="3">
        <f t="shared" si="0"/>
        <v>46256</v>
      </c>
      <c r="X3" s="3">
        <f t="shared" si="0"/>
        <v>46257</v>
      </c>
      <c r="Y3" s="3">
        <f t="shared" si="0"/>
        <v>46258</v>
      </c>
      <c r="Z3" s="3">
        <f t="shared" si="0"/>
        <v>46259</v>
      </c>
      <c r="AA3" s="3">
        <f t="shared" si="0"/>
        <v>46260</v>
      </c>
      <c r="AB3" s="3">
        <f t="shared" si="0"/>
        <v>46261</v>
      </c>
      <c r="AC3" s="3">
        <f t="shared" si="0"/>
        <v>46262</v>
      </c>
      <c r="AD3" s="3">
        <f t="shared" si="0"/>
        <v>46263</v>
      </c>
      <c r="AE3" s="3">
        <f t="shared" si="0"/>
        <v>46264</v>
      </c>
      <c r="AF3" s="3">
        <f t="shared" si="0"/>
        <v>46265</v>
      </c>
      <c r="AG3" s="1"/>
    </row>
    <row r="4" spans="1:33" x14ac:dyDescent="0.25">
      <c r="A4" s="8" t="s">
        <v>25</v>
      </c>
      <c r="B4" s="5">
        <f>B3</f>
        <v>46235</v>
      </c>
      <c r="C4" s="5">
        <f t="shared" ref="C4:AF4" si="1">C3</f>
        <v>46236</v>
      </c>
      <c r="D4" s="5">
        <f t="shared" si="1"/>
        <v>46237</v>
      </c>
      <c r="E4" s="5">
        <f t="shared" si="1"/>
        <v>46238</v>
      </c>
      <c r="F4" s="5">
        <f t="shared" si="1"/>
        <v>46239</v>
      </c>
      <c r="G4" s="5">
        <f t="shared" si="1"/>
        <v>46240</v>
      </c>
      <c r="H4" s="5">
        <f t="shared" si="1"/>
        <v>46241</v>
      </c>
      <c r="I4" s="5">
        <f t="shared" si="1"/>
        <v>46242</v>
      </c>
      <c r="J4" s="5">
        <f t="shared" si="1"/>
        <v>46243</v>
      </c>
      <c r="K4" s="5">
        <f t="shared" si="1"/>
        <v>46244</v>
      </c>
      <c r="L4" s="5">
        <f t="shared" si="1"/>
        <v>46245</v>
      </c>
      <c r="M4" s="5">
        <f t="shared" si="1"/>
        <v>46246</v>
      </c>
      <c r="N4" s="5">
        <f t="shared" si="1"/>
        <v>46247</v>
      </c>
      <c r="O4" s="5">
        <f t="shared" si="1"/>
        <v>46248</v>
      </c>
      <c r="P4" s="5">
        <f t="shared" si="1"/>
        <v>46249</v>
      </c>
      <c r="Q4" s="5">
        <f t="shared" si="1"/>
        <v>46250</v>
      </c>
      <c r="R4" s="5">
        <f t="shared" si="1"/>
        <v>46251</v>
      </c>
      <c r="S4" s="5">
        <f t="shared" si="1"/>
        <v>46252</v>
      </c>
      <c r="T4" s="5">
        <f t="shared" si="1"/>
        <v>46253</v>
      </c>
      <c r="U4" s="5">
        <f t="shared" si="1"/>
        <v>46254</v>
      </c>
      <c r="V4" s="5">
        <f t="shared" si="1"/>
        <v>46255</v>
      </c>
      <c r="W4" s="5">
        <f t="shared" si="1"/>
        <v>46256</v>
      </c>
      <c r="X4" s="5">
        <f t="shared" si="1"/>
        <v>46257</v>
      </c>
      <c r="Y4" s="5">
        <f t="shared" si="1"/>
        <v>46258</v>
      </c>
      <c r="Z4" s="5">
        <f t="shared" si="1"/>
        <v>46259</v>
      </c>
      <c r="AA4" s="5">
        <f t="shared" si="1"/>
        <v>46260</v>
      </c>
      <c r="AB4" s="5">
        <f t="shared" si="1"/>
        <v>46261</v>
      </c>
      <c r="AC4" s="5">
        <f t="shared" si="1"/>
        <v>46262</v>
      </c>
      <c r="AD4" s="5">
        <f t="shared" si="1"/>
        <v>46263</v>
      </c>
      <c r="AE4" s="5">
        <f t="shared" si="1"/>
        <v>46264</v>
      </c>
      <c r="AF4" s="5">
        <f t="shared" si="1"/>
        <v>46265</v>
      </c>
      <c r="AG4" s="1"/>
    </row>
    <row r="5" spans="1:33" x14ac:dyDescent="0.25">
      <c r="A5" s="2" t="s">
        <v>38</v>
      </c>
      <c r="B5" s="2"/>
      <c r="C5" s="2"/>
      <c r="D5" s="2"/>
      <c r="E5" s="2"/>
      <c r="F5" s="2" t="s">
        <v>26</v>
      </c>
      <c r="G5" s="2"/>
      <c r="H5" s="2"/>
      <c r="I5" s="2"/>
      <c r="J5" s="2"/>
      <c r="K5" s="2" t="s">
        <v>26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3" x14ac:dyDescent="0.25">
      <c r="A6" s="2" t="s">
        <v>39</v>
      </c>
      <c r="B6" s="2"/>
      <c r="C6" s="2" t="s">
        <v>27</v>
      </c>
      <c r="D6" s="2"/>
      <c r="E6" s="2" t="s">
        <v>27</v>
      </c>
      <c r="F6" s="2"/>
      <c r="G6" s="2"/>
      <c r="H6" s="2" t="s">
        <v>26</v>
      </c>
      <c r="I6" s="2"/>
      <c r="J6" s="2" t="s">
        <v>27</v>
      </c>
      <c r="K6" s="2"/>
      <c r="L6" s="2"/>
      <c r="M6" s="2"/>
      <c r="N6" s="2" t="s">
        <v>27</v>
      </c>
      <c r="O6" s="2"/>
      <c r="P6" s="2" t="s">
        <v>27</v>
      </c>
      <c r="Q6" s="2"/>
      <c r="R6" s="2"/>
      <c r="S6" s="2" t="s">
        <v>27</v>
      </c>
      <c r="T6" s="2"/>
      <c r="U6" s="2"/>
      <c r="V6" s="2"/>
      <c r="W6" s="2"/>
      <c r="X6" s="2" t="s">
        <v>27</v>
      </c>
      <c r="Y6" s="2"/>
      <c r="Z6" s="2"/>
      <c r="AA6" s="2"/>
      <c r="AB6" s="2" t="s">
        <v>27</v>
      </c>
      <c r="AC6" s="2"/>
      <c r="AD6" s="2"/>
      <c r="AE6" s="2" t="s">
        <v>28</v>
      </c>
      <c r="AF6" s="2"/>
    </row>
    <row r="7" spans="1:33" x14ac:dyDescent="0.25">
      <c r="A7" s="2" t="s">
        <v>40</v>
      </c>
      <c r="B7" s="2"/>
      <c r="C7" s="2"/>
      <c r="D7" s="2" t="s">
        <v>26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3" x14ac:dyDescent="0.25">
      <c r="A8" s="2" t="s">
        <v>41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3" x14ac:dyDescent="0.25">
      <c r="A9" s="2" t="s">
        <v>42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 t="s">
        <v>27</v>
      </c>
      <c r="R9" s="2"/>
      <c r="S9" s="2"/>
      <c r="T9" s="2"/>
      <c r="U9" s="2" t="s">
        <v>27</v>
      </c>
      <c r="V9" s="2"/>
      <c r="W9" s="2"/>
      <c r="X9" s="2"/>
      <c r="Y9" s="2"/>
      <c r="Z9" s="2" t="s">
        <v>27</v>
      </c>
      <c r="AA9" s="2"/>
      <c r="AB9" s="2"/>
      <c r="AC9" s="2" t="s">
        <v>26</v>
      </c>
      <c r="AD9" s="2"/>
      <c r="AE9" s="2"/>
      <c r="AF9" s="2" t="s">
        <v>26</v>
      </c>
    </row>
    <row r="10" spans="1:3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x14ac:dyDescent="0.25">
      <c r="B21" s="1"/>
      <c r="C21" s="1"/>
    </row>
    <row r="22" spans="1:32" x14ac:dyDescent="0.25">
      <c r="X22" t="s">
        <v>22</v>
      </c>
      <c r="AB22" s="10"/>
      <c r="AC22" s="10"/>
      <c r="AD22" s="10"/>
      <c r="AF22" s="6" t="str">
        <f>VLOOKUP(C1,Таблица1[[Отделения]:[Заведующие]],2,0)</f>
        <v>Сашев С.С.</v>
      </c>
    </row>
  </sheetData>
  <mergeCells count="3">
    <mergeCell ref="C1:H1"/>
    <mergeCell ref="K1:L1"/>
    <mergeCell ref="M1:N1"/>
  </mergeCells>
  <conditionalFormatting sqref="B3:AF20">
    <cfRule type="expression" dxfId="0" priority="1">
      <formula>WEEKDAY(B$3,2)&gt;5</formula>
    </cfRule>
  </conditionalFormatting>
  <dataValidations count="4">
    <dataValidation type="list" allowBlank="1" showInputMessage="1" showErrorMessage="1" sqref="K1" xr:uid="{00000000-0002-0000-0000-000000000000}">
      <formula1>Месяц</formula1>
    </dataValidation>
    <dataValidation type="list" allowBlank="1" showInputMessage="1" showErrorMessage="1" sqref="B5:AF20" xr:uid="{00000000-0002-0000-0000-000001000000}">
      <formula1>Время</formula1>
    </dataValidation>
    <dataValidation type="list" allowBlank="1" showInputMessage="1" showErrorMessage="1" sqref="M1" xr:uid="{00000000-0002-0000-0000-000002000000}">
      <formula1>Год</formula1>
    </dataValidation>
    <dataValidation type="list" allowBlank="1" showInputMessage="1" showErrorMessage="1" sqref="C1" xr:uid="{00000000-0002-0000-0000-000003000000}">
      <formula1>Отделения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4"/>
  <sheetViews>
    <sheetView workbookViewId="0">
      <selection activeCell="E10" sqref="E10"/>
    </sheetView>
  </sheetViews>
  <sheetFormatPr defaultRowHeight="15" x14ac:dyDescent="0.25"/>
  <cols>
    <col min="2" max="2" width="12.140625" customWidth="1"/>
    <col min="4" max="4" width="10.140625" bestFit="1" customWidth="1"/>
    <col min="5" max="5" width="35.85546875" customWidth="1"/>
    <col min="6" max="6" width="32" customWidth="1"/>
  </cols>
  <sheetData>
    <row r="1" spans="2:6" x14ac:dyDescent="0.25">
      <c r="B1" t="s">
        <v>13</v>
      </c>
      <c r="C1" t="s">
        <v>0</v>
      </c>
      <c r="D1" t="s">
        <v>14</v>
      </c>
      <c r="E1" t="s">
        <v>16</v>
      </c>
      <c r="F1" t="s">
        <v>23</v>
      </c>
    </row>
    <row r="2" spans="2:6" x14ac:dyDescent="0.25">
      <c r="B2" s="4" t="s">
        <v>27</v>
      </c>
      <c r="C2" t="s">
        <v>1</v>
      </c>
      <c r="D2" s="7">
        <v>46023</v>
      </c>
      <c r="E2" t="s">
        <v>17</v>
      </c>
      <c r="F2" t="s">
        <v>30</v>
      </c>
    </row>
    <row r="3" spans="2:6" x14ac:dyDescent="0.25">
      <c r="B3" s="4" t="s">
        <v>26</v>
      </c>
      <c r="C3" t="s">
        <v>2</v>
      </c>
      <c r="D3" s="7">
        <v>46388</v>
      </c>
      <c r="E3" t="s">
        <v>18</v>
      </c>
      <c r="F3" t="s">
        <v>31</v>
      </c>
    </row>
    <row r="4" spans="2:6" x14ac:dyDescent="0.25">
      <c r="B4" s="4" t="s">
        <v>28</v>
      </c>
      <c r="C4" t="s">
        <v>3</v>
      </c>
      <c r="D4" s="7">
        <v>46753</v>
      </c>
      <c r="E4" t="s">
        <v>19</v>
      </c>
      <c r="F4" t="s">
        <v>32</v>
      </c>
    </row>
    <row r="5" spans="2:6" x14ac:dyDescent="0.25">
      <c r="B5" s="4" t="s">
        <v>29</v>
      </c>
      <c r="C5" t="s">
        <v>4</v>
      </c>
      <c r="D5" s="7">
        <v>47119</v>
      </c>
      <c r="E5" t="s">
        <v>20</v>
      </c>
      <c r="F5" t="s">
        <v>33</v>
      </c>
    </row>
    <row r="6" spans="2:6" x14ac:dyDescent="0.25">
      <c r="B6" s="4"/>
      <c r="C6" t="s">
        <v>5</v>
      </c>
      <c r="D6" s="7">
        <v>47484</v>
      </c>
      <c r="E6" t="s">
        <v>35</v>
      </c>
      <c r="F6" t="s">
        <v>34</v>
      </c>
    </row>
    <row r="7" spans="2:6" x14ac:dyDescent="0.25">
      <c r="B7" s="4"/>
      <c r="C7" t="s">
        <v>6</v>
      </c>
      <c r="D7" s="7">
        <v>47849</v>
      </c>
    </row>
    <row r="8" spans="2:6" x14ac:dyDescent="0.25">
      <c r="B8" s="4"/>
      <c r="C8" t="s">
        <v>7</v>
      </c>
      <c r="D8" s="7">
        <v>48214</v>
      </c>
    </row>
    <row r="9" spans="2:6" x14ac:dyDescent="0.25">
      <c r="B9" s="4"/>
      <c r="C9" t="s">
        <v>8</v>
      </c>
      <c r="D9" s="7">
        <v>48580</v>
      </c>
    </row>
    <row r="10" spans="2:6" x14ac:dyDescent="0.25">
      <c r="B10" s="4"/>
      <c r="C10" t="s">
        <v>9</v>
      </c>
      <c r="D10" s="7">
        <v>48945</v>
      </c>
    </row>
    <row r="11" spans="2:6" x14ac:dyDescent="0.25">
      <c r="B11" s="4"/>
      <c r="C11" t="s">
        <v>10</v>
      </c>
      <c r="D11" s="7">
        <v>49310</v>
      </c>
    </row>
    <row r="12" spans="2:6" x14ac:dyDescent="0.25">
      <c r="B12" s="4"/>
      <c r="C12" t="s">
        <v>11</v>
      </c>
      <c r="D12" s="7">
        <v>49675</v>
      </c>
    </row>
    <row r="13" spans="2:6" x14ac:dyDescent="0.25">
      <c r="B13" s="4"/>
      <c r="C13" t="s">
        <v>12</v>
      </c>
      <c r="D13" s="7">
        <v>50041</v>
      </c>
    </row>
    <row r="14" spans="2:6" x14ac:dyDescent="0.25">
      <c r="B14" s="4"/>
      <c r="C14" t="s">
        <v>1</v>
      </c>
      <c r="D14" s="7">
        <v>50406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Отделение</vt:lpstr>
      <vt:lpstr>Справочник</vt:lpstr>
      <vt:lpstr>Время</vt:lpstr>
      <vt:lpstr>Год</vt:lpstr>
      <vt:lpstr>Месяц</vt:lpstr>
      <vt:lpstr>Отделения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Скоков</dc:creator>
  <cp:lastModifiedBy>Семен Скоков</cp:lastModifiedBy>
  <dcterms:created xsi:type="dcterms:W3CDTF">2015-06-05T18:19:34Z</dcterms:created>
  <dcterms:modified xsi:type="dcterms:W3CDTF">2026-07-25T09:04:10Z</dcterms:modified>
</cp:coreProperties>
</file>